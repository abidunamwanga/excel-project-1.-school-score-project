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eaca58f50c327d/Documentos/"/>
    </mc:Choice>
  </mc:AlternateContent>
  <xr:revisionPtr revIDLastSave="212" documentId="13_ncr:40000001_{6B0118C1-656B-1A46-B27B-1AE70A9A100C}" xr6:coauthVersionLast="47" xr6:coauthVersionMax="47" xr10:uidLastSave="{A1FAABA5-2421-494C-ADC6-2B4026EF5CDA}"/>
  <bookViews>
    <workbookView xWindow="0" yWindow="740" windowWidth="29400" windowHeight="18380" activeTab="4" xr2:uid="{68C42E48-B571-6C48-9EA2-38259F1E965A}"/>
  </bookViews>
  <sheets>
    <sheet name="SCORES" sheetId="1" r:id="rId1"/>
    <sheet name="CHEATING PENALTY" sheetId="3" r:id="rId2"/>
    <sheet name="ANALYSIS" sheetId="4" r:id="rId3"/>
    <sheet name="OVERALL STATISTICS" sheetId="5" r:id="rId4"/>
    <sheet name="WHAT I LEARNED" sheetId="6" r:id="rId5"/>
  </sheets>
  <definedNames>
    <definedName name="penalty_rate">'CHEATING PENALTY'!$D$9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8" i="5"/>
  <c r="D7" i="5"/>
  <c r="D6" i="5"/>
  <c r="D5" i="5"/>
  <c r="G12" i="1"/>
  <c r="G13" i="1"/>
  <c r="G22" i="1"/>
  <c r="G23" i="1"/>
  <c r="C6" i="4"/>
  <c r="F5" i="1"/>
  <c r="G5" i="1" s="1"/>
  <c r="D6" i="4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F13" i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F23" i="1"/>
  <c r="F24" i="1"/>
  <c r="G24" i="1" s="1"/>
  <c r="F25" i="1"/>
  <c r="G25" i="1" s="1"/>
  <c r="F4" i="1"/>
  <c r="G4" i="1" s="1"/>
</calcChain>
</file>

<file path=xl/sharedStrings.xml><?xml version="1.0" encoding="utf-8"?>
<sst xmlns="http://schemas.openxmlformats.org/spreadsheetml/2006/main" count="72" uniqueCount="46">
  <si>
    <t>student id</t>
  </si>
  <si>
    <t>name</t>
  </si>
  <si>
    <t>subject</t>
  </si>
  <si>
    <t>score</t>
  </si>
  <si>
    <t>abiduna mwanga</t>
  </si>
  <si>
    <t>excel basics</t>
  </si>
  <si>
    <t>byiringiro joy</t>
  </si>
  <si>
    <t>word basics</t>
  </si>
  <si>
    <t>basnet anita</t>
  </si>
  <si>
    <t>ruth mbabazi</t>
  </si>
  <si>
    <t>elizabeth michael</t>
  </si>
  <si>
    <t>yusra omary</t>
  </si>
  <si>
    <t>mwendee osea</t>
  </si>
  <si>
    <t>aisha msumi</t>
  </si>
  <si>
    <t>leah haule</t>
  </si>
  <si>
    <t>anastazia ephata</t>
  </si>
  <si>
    <t>karen temba</t>
  </si>
  <si>
    <t>johnson alfred</t>
  </si>
  <si>
    <t>jaemin joseph</t>
  </si>
  <si>
    <t>kusima elizabeth</t>
  </si>
  <si>
    <t>aliane elias</t>
  </si>
  <si>
    <t>rashidi mwanga</t>
  </si>
  <si>
    <t>ibrah mwanga</t>
  </si>
  <si>
    <t>zwahiri maravua</t>
  </si>
  <si>
    <t>rose kamanga</t>
  </si>
  <si>
    <t>elia ernest</t>
  </si>
  <si>
    <t>edina bakuba</t>
  </si>
  <si>
    <t>catherine jonas</t>
  </si>
  <si>
    <t>students scores</t>
  </si>
  <si>
    <t>Column1</t>
  </si>
  <si>
    <t>Column2</t>
  </si>
  <si>
    <t xml:space="preserve">CHEATING PENALTY RATE </t>
  </si>
  <si>
    <t>cheating penalty</t>
  </si>
  <si>
    <t>final score</t>
  </si>
  <si>
    <t>scores before penalty</t>
  </si>
  <si>
    <t>Column3</t>
  </si>
  <si>
    <t>student analysis</t>
  </si>
  <si>
    <t>what is the lowest score in class?</t>
  </si>
  <si>
    <t>what is the highest score in class?</t>
  </si>
  <si>
    <t>what is the average score of all students?</t>
  </si>
  <si>
    <t>what is the total of all score?</t>
  </si>
  <si>
    <t>how many scores are recorded?</t>
  </si>
  <si>
    <t>=</t>
  </si>
  <si>
    <t>STATISTICAL QUESTIONS</t>
  </si>
  <si>
    <t>WHAT I LEARNED</t>
  </si>
  <si>
    <t>This is my first excel project in which I practiced using excel functions such as MAX, MIN, AVERAGE, SUM, VLOOKUP and XLOOKUP to analyze score data. I also learned how formulas automatically update when data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</si>
</sst>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wrapText="1" shrinkToFit="1"/>
    </xf>
  </cellXfs>
  <cellStyles count="1">
    <cellStyle name="Normal" xfId="0" builtinId="0"/>
  </cellStyles>
  <dxfs count="3"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740F4-EBC1-BD42-BA35-A992EA206004}" name="Table1" displayName="Table1" ref="B3:G25" totalsRowShown="0">
  <autoFilter ref="B3:G25" xr:uid="{676740F4-EBC1-BD42-BA35-A992EA206004}"/>
  <tableColumns count="6">
    <tableColumn id="1" xr3:uid="{4A87045F-B713-3847-A02B-08DF0CCB63D4}" name="student id"/>
    <tableColumn id="2" xr3:uid="{67F01960-903F-1340-B1A7-3976222764B7}" name="name"/>
    <tableColumn id="3" xr3:uid="{5810C740-4FC6-4249-8A0C-E0FC7EAA11FD}" name="subject"/>
    <tableColumn id="4" xr3:uid="{8B979B91-39E8-D048-96B5-5126FCE2AFBC}" name="scores before penalty"/>
    <tableColumn id="5" xr3:uid="{5AD459FE-FBBC-F742-9517-DE097AF210BF}" name="cheating penalty" dataDxfId="2">
      <calculatedColumnFormula>Table1[[#This Row],[scores before penalty]]*penalty_rate</calculatedColumnFormula>
    </tableColumn>
    <tableColumn id="6" xr3:uid="{D784C9BA-E78B-8B42-92AA-D6E9F3D35D37}" name="final score" dataDxfId="1">
      <calculatedColumnFormula>Table1[[#This Row],[scores before penalty]]-Table1[[#This Row],[cheating penalty]]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CD7887-39F4-7C47-BA21-C8F20AC5CC98}" name="Table5" displayName="Table5" ref="D8:D9" totalsRowShown="0">
  <autoFilter ref="D8:D9" xr:uid="{39CD7887-39F4-7C47-BA21-C8F20AC5CC98}"/>
  <tableColumns count="1">
    <tableColumn id="1" xr3:uid="{423D23DC-F597-D24E-A04E-E3854F9B1B06}" name="CHEATING PENALTY RATE 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740274-01DF-E045-AE4A-C9AB6B1DB48A}" name="Table3" displayName="Table3" ref="B4:D6" totalsRowShown="0">
  <autoFilter ref="B4:D6" xr:uid="{26740274-01DF-E045-AE4A-C9AB6B1DB48A}"/>
  <tableColumns count="3">
    <tableColumn id="1" xr3:uid="{E404FE16-50BE-4045-8A89-95304F768298}" name="Column1"/>
    <tableColumn id="2" xr3:uid="{98C766EE-FC49-344D-85B6-44340CF10CE9}" name="Column2"/>
    <tableColumn id="3" xr3:uid="{2539FFAD-208B-4644-B440-19608220CA5C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E6D8CC-6397-F94C-B265-D2D696417D69}" name="Table4" displayName="Table4" ref="B4:D9" totalsRowShown="0">
  <autoFilter ref="B4:D9" xr:uid="{54E6D8CC-6397-F94C-B265-D2D696417D69}"/>
  <tableColumns count="3">
    <tableColumn id="1" xr3:uid="{93636467-F7A6-024C-9DEB-E47FD8CDE8A0}" name="Column1"/>
    <tableColumn id="2" xr3:uid="{B8CB478C-FE68-ED46-A5FF-A21C7C885E9B}" name="Column2"/>
    <tableColumn id="3" xr3:uid="{F3CC91EB-3F86-3242-BCD1-80DC76F6A4FA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8B8B-41CF-F44C-A615-8CF12457F65B}">
  <dimension ref="B2:G31"/>
  <sheetViews>
    <sheetView topLeftCell="A2" workbookViewId="0">
      <selection activeCell="L31" sqref="L31"/>
    </sheetView>
  </sheetViews>
  <sheetFormatPr baseColWidth="10" defaultRowHeight="16" x14ac:dyDescent="0.2"/>
  <cols>
    <col min="2" max="2" width="11.5" customWidth="1"/>
    <col min="3" max="3" width="15.5" bestFit="1" customWidth="1"/>
    <col min="4" max="4" width="11" bestFit="1" customWidth="1"/>
    <col min="5" max="5" width="22.5" bestFit="1" customWidth="1"/>
    <col min="6" max="6" width="17.1640625" bestFit="1" customWidth="1"/>
    <col min="7" max="7" width="12.33203125" bestFit="1" customWidth="1"/>
  </cols>
  <sheetData>
    <row r="2" spans="2:7" x14ac:dyDescent="0.2">
      <c r="B2" s="2" t="s">
        <v>28</v>
      </c>
      <c r="C2" s="3"/>
      <c r="D2" s="3"/>
      <c r="E2" s="3"/>
    </row>
    <row r="3" spans="2:7" x14ac:dyDescent="0.2">
      <c r="B3" t="s">
        <v>0</v>
      </c>
      <c r="C3" t="s">
        <v>1</v>
      </c>
      <c r="D3" t="s">
        <v>2</v>
      </c>
      <c r="E3" t="s">
        <v>34</v>
      </c>
      <c r="F3" t="s">
        <v>32</v>
      </c>
      <c r="G3" t="s">
        <v>33</v>
      </c>
    </row>
    <row r="4" spans="2:7" x14ac:dyDescent="0.2">
      <c r="B4">
        <v>1001</v>
      </c>
      <c r="C4" t="s">
        <v>4</v>
      </c>
      <c r="D4" t="s">
        <v>5</v>
      </c>
      <c r="E4">
        <v>99</v>
      </c>
      <c r="F4">
        <f>Table1[[#This Row],[scores before penalty]]*penalty_rate</f>
        <v>0.99</v>
      </c>
      <c r="G4">
        <f>Table1[[#This Row],[scores before penalty]]-Table1[[#This Row],[cheating penalty]]</f>
        <v>98.01</v>
      </c>
    </row>
    <row r="5" spans="2:7" x14ac:dyDescent="0.2">
      <c r="B5">
        <v>1002</v>
      </c>
      <c r="C5" t="s">
        <v>6</v>
      </c>
      <c r="D5" t="s">
        <v>5</v>
      </c>
      <c r="E5">
        <v>73</v>
      </c>
      <c r="F5">
        <f>Table1[[#This Row],[scores before penalty]]*penalty_rate</f>
        <v>0.73</v>
      </c>
      <c r="G5">
        <f>Table1[[#This Row],[scores before penalty]]-Table1[[#This Row],[cheating penalty]]</f>
        <v>72.27</v>
      </c>
    </row>
    <row r="6" spans="2:7" x14ac:dyDescent="0.2">
      <c r="B6">
        <v>1003</v>
      </c>
      <c r="C6" t="s">
        <v>8</v>
      </c>
      <c r="D6" t="s">
        <v>5</v>
      </c>
      <c r="E6">
        <v>89</v>
      </c>
      <c r="F6">
        <f>Table1[[#This Row],[scores before penalty]]*penalty_rate</f>
        <v>0.89</v>
      </c>
      <c r="G6">
        <f>Table1[[#This Row],[scores before penalty]]-Table1[[#This Row],[cheating penalty]]</f>
        <v>88.11</v>
      </c>
    </row>
    <row r="7" spans="2:7" x14ac:dyDescent="0.2">
      <c r="B7">
        <v>1004</v>
      </c>
      <c r="C7" t="s">
        <v>9</v>
      </c>
      <c r="D7" t="s">
        <v>5</v>
      </c>
      <c r="E7">
        <v>98</v>
      </c>
      <c r="F7">
        <f>Table1[[#This Row],[scores before penalty]]*penalty_rate</f>
        <v>0.98</v>
      </c>
      <c r="G7">
        <f>Table1[[#This Row],[scores before penalty]]-Table1[[#This Row],[cheating penalty]]</f>
        <v>97.02</v>
      </c>
    </row>
    <row r="8" spans="2:7" x14ac:dyDescent="0.2">
      <c r="B8">
        <v>1005</v>
      </c>
      <c r="C8" t="s">
        <v>10</v>
      </c>
      <c r="D8" t="s">
        <v>5</v>
      </c>
      <c r="E8">
        <v>77</v>
      </c>
      <c r="F8">
        <f>Table1[[#This Row],[scores before penalty]]*penalty_rate</f>
        <v>0.77</v>
      </c>
      <c r="G8">
        <f>Table1[[#This Row],[scores before penalty]]-Table1[[#This Row],[cheating penalty]]</f>
        <v>76.23</v>
      </c>
    </row>
    <row r="9" spans="2:7" x14ac:dyDescent="0.2">
      <c r="B9">
        <v>1006</v>
      </c>
      <c r="C9" t="s">
        <v>11</v>
      </c>
      <c r="D9" t="s">
        <v>5</v>
      </c>
      <c r="E9">
        <v>64</v>
      </c>
      <c r="F9">
        <f>Table1[[#This Row],[scores before penalty]]*penalty_rate</f>
        <v>0.64</v>
      </c>
      <c r="G9">
        <f>Table1[[#This Row],[scores before penalty]]-Table1[[#This Row],[cheating penalty]]</f>
        <v>63.36</v>
      </c>
    </row>
    <row r="10" spans="2:7" x14ac:dyDescent="0.2">
      <c r="B10">
        <v>1007</v>
      </c>
      <c r="C10" t="s">
        <v>12</v>
      </c>
      <c r="D10" t="s">
        <v>5</v>
      </c>
      <c r="E10">
        <v>53</v>
      </c>
      <c r="F10">
        <f>Table1[[#This Row],[scores before penalty]]*penalty_rate</f>
        <v>0.53</v>
      </c>
      <c r="G10">
        <f>Table1[[#This Row],[scores before penalty]]-Table1[[#This Row],[cheating penalty]]</f>
        <v>52.47</v>
      </c>
    </row>
    <row r="11" spans="2:7" x14ac:dyDescent="0.2">
      <c r="B11">
        <v>1008</v>
      </c>
      <c r="C11" t="s">
        <v>13</v>
      </c>
      <c r="D11" t="s">
        <v>5</v>
      </c>
      <c r="E11">
        <v>25</v>
      </c>
      <c r="F11">
        <f>Table1[[#This Row],[scores before penalty]]*penalty_rate</f>
        <v>0.25</v>
      </c>
      <c r="G11">
        <f>Table1[[#This Row],[scores before penalty]]-Table1[[#This Row],[cheating penalty]]</f>
        <v>24.75</v>
      </c>
    </row>
    <row r="12" spans="2:7" x14ac:dyDescent="0.2">
      <c r="B12">
        <v>1009</v>
      </c>
      <c r="C12" t="s">
        <v>14</v>
      </c>
      <c r="D12" t="s">
        <v>5</v>
      </c>
      <c r="E12">
        <v>87</v>
      </c>
      <c r="F12">
        <f>Table1[[#This Row],[scores before penalty]]*penalty_rate</f>
        <v>0.87</v>
      </c>
      <c r="G12">
        <f>Table1[[#This Row],[scores before penalty]]-Table1[[#This Row],[cheating penalty]]</f>
        <v>86.13</v>
      </c>
    </row>
    <row r="13" spans="2:7" x14ac:dyDescent="0.2">
      <c r="B13">
        <v>1010</v>
      </c>
      <c r="C13" t="s">
        <v>15</v>
      </c>
      <c r="D13" t="s">
        <v>5</v>
      </c>
      <c r="E13">
        <v>36</v>
      </c>
      <c r="F13">
        <f>Table1[[#This Row],[scores before penalty]]*penalty_rate</f>
        <v>0.36</v>
      </c>
      <c r="G13">
        <f>Table1[[#This Row],[scores before penalty]]-Table1[[#This Row],[cheating penalty]]</f>
        <v>35.64</v>
      </c>
    </row>
    <row r="14" spans="2:7" x14ac:dyDescent="0.2">
      <c r="B14">
        <v>1011</v>
      </c>
      <c r="C14" t="s">
        <v>16</v>
      </c>
      <c r="D14" t="s">
        <v>5</v>
      </c>
      <c r="E14">
        <v>67</v>
      </c>
      <c r="F14">
        <f>Table1[[#This Row],[scores before penalty]]*penalty_rate</f>
        <v>0.67</v>
      </c>
      <c r="G14">
        <f>Table1[[#This Row],[scores before penalty]]-Table1[[#This Row],[cheating penalty]]</f>
        <v>66.33</v>
      </c>
    </row>
    <row r="15" spans="2:7" x14ac:dyDescent="0.2">
      <c r="B15">
        <v>1012</v>
      </c>
      <c r="C15" t="s">
        <v>17</v>
      </c>
      <c r="D15" t="s">
        <v>7</v>
      </c>
      <c r="E15">
        <v>78</v>
      </c>
      <c r="F15">
        <f>Table1[[#This Row],[scores before penalty]]*penalty_rate</f>
        <v>0.78</v>
      </c>
      <c r="G15">
        <f>Table1[[#This Row],[scores before penalty]]-Table1[[#This Row],[cheating penalty]]</f>
        <v>77.22</v>
      </c>
    </row>
    <row r="16" spans="2:7" x14ac:dyDescent="0.2">
      <c r="B16">
        <v>1013</v>
      </c>
      <c r="C16" t="s">
        <v>18</v>
      </c>
      <c r="D16" t="s">
        <v>7</v>
      </c>
      <c r="E16">
        <v>41</v>
      </c>
      <c r="F16">
        <f>Table1[[#This Row],[scores before penalty]]*penalty_rate</f>
        <v>0.41000000000000003</v>
      </c>
      <c r="G16">
        <f>Table1[[#This Row],[scores before penalty]]-Table1[[#This Row],[cheating penalty]]</f>
        <v>40.590000000000003</v>
      </c>
    </row>
    <row r="17" spans="2:7" x14ac:dyDescent="0.2">
      <c r="B17">
        <v>1014</v>
      </c>
      <c r="C17" t="s">
        <v>19</v>
      </c>
      <c r="D17" t="s">
        <v>7</v>
      </c>
      <c r="E17">
        <v>10</v>
      </c>
      <c r="F17">
        <f>Table1[[#This Row],[scores before penalty]]*penalty_rate</f>
        <v>0.1</v>
      </c>
      <c r="G17">
        <f>Table1[[#This Row],[scores before penalty]]-Table1[[#This Row],[cheating penalty]]</f>
        <v>9.9</v>
      </c>
    </row>
    <row r="18" spans="2:7" x14ac:dyDescent="0.2">
      <c r="B18">
        <v>1015</v>
      </c>
      <c r="C18" t="s">
        <v>20</v>
      </c>
      <c r="D18" t="s">
        <v>7</v>
      </c>
      <c r="E18">
        <v>5</v>
      </c>
      <c r="F18">
        <f>Table1[[#This Row],[scores before penalty]]*penalty_rate</f>
        <v>0.05</v>
      </c>
      <c r="G18">
        <f>Table1[[#This Row],[scores before penalty]]-Table1[[#This Row],[cheating penalty]]</f>
        <v>4.95</v>
      </c>
    </row>
    <row r="19" spans="2:7" x14ac:dyDescent="0.2">
      <c r="B19">
        <v>1016</v>
      </c>
      <c r="C19" t="s">
        <v>21</v>
      </c>
      <c r="D19" t="s">
        <v>7</v>
      </c>
      <c r="E19">
        <v>88</v>
      </c>
      <c r="F19">
        <f>Table1[[#This Row],[scores before penalty]]*penalty_rate</f>
        <v>0.88</v>
      </c>
      <c r="G19">
        <f>Table1[[#This Row],[scores before penalty]]-Table1[[#This Row],[cheating penalty]]</f>
        <v>87.12</v>
      </c>
    </row>
    <row r="20" spans="2:7" x14ac:dyDescent="0.2">
      <c r="B20">
        <v>1017</v>
      </c>
      <c r="C20" t="s">
        <v>22</v>
      </c>
      <c r="D20" t="s">
        <v>7</v>
      </c>
      <c r="E20">
        <v>63</v>
      </c>
      <c r="F20">
        <f>Table1[[#This Row],[scores before penalty]]*penalty_rate</f>
        <v>0.63</v>
      </c>
      <c r="G20">
        <f>Table1[[#This Row],[scores before penalty]]-Table1[[#This Row],[cheating penalty]]</f>
        <v>62.37</v>
      </c>
    </row>
    <row r="21" spans="2:7" x14ac:dyDescent="0.2">
      <c r="B21">
        <v>1018</v>
      </c>
      <c r="C21" t="s">
        <v>23</v>
      </c>
      <c r="D21" t="s">
        <v>7</v>
      </c>
      <c r="E21">
        <v>69</v>
      </c>
      <c r="F21">
        <f>Table1[[#This Row],[scores before penalty]]*penalty_rate</f>
        <v>0.69000000000000006</v>
      </c>
      <c r="G21">
        <f>Table1[[#This Row],[scores before penalty]]-Table1[[#This Row],[cheating penalty]]</f>
        <v>68.31</v>
      </c>
    </row>
    <row r="22" spans="2:7" x14ac:dyDescent="0.2">
      <c r="B22">
        <v>1019</v>
      </c>
      <c r="C22" t="s">
        <v>24</v>
      </c>
      <c r="D22" t="s">
        <v>7</v>
      </c>
      <c r="E22">
        <v>72</v>
      </c>
      <c r="F22">
        <f>Table1[[#This Row],[scores before penalty]]*penalty_rate</f>
        <v>0.72</v>
      </c>
      <c r="G22">
        <f>Table1[[#This Row],[scores before penalty]]-Table1[[#This Row],[cheating penalty]]</f>
        <v>71.28</v>
      </c>
    </row>
    <row r="23" spans="2:7" x14ac:dyDescent="0.2">
      <c r="B23">
        <v>1020</v>
      </c>
      <c r="C23" t="s">
        <v>25</v>
      </c>
      <c r="D23" t="s">
        <v>7</v>
      </c>
      <c r="E23">
        <v>67</v>
      </c>
      <c r="F23">
        <f>Table1[[#This Row],[scores before penalty]]*penalty_rate</f>
        <v>0.67</v>
      </c>
      <c r="G23">
        <f>Table1[[#This Row],[scores before penalty]]-Table1[[#This Row],[cheating penalty]]</f>
        <v>66.33</v>
      </c>
    </row>
    <row r="24" spans="2:7" x14ac:dyDescent="0.2">
      <c r="B24">
        <v>1021</v>
      </c>
      <c r="C24" t="s">
        <v>26</v>
      </c>
      <c r="D24" t="s">
        <v>7</v>
      </c>
      <c r="E24">
        <v>63</v>
      </c>
      <c r="F24">
        <f>Table1[[#This Row],[scores before penalty]]*penalty_rate</f>
        <v>0.63</v>
      </c>
      <c r="G24">
        <f>Table1[[#This Row],[scores before penalty]]-Table1[[#This Row],[cheating penalty]]</f>
        <v>62.37</v>
      </c>
    </row>
    <row r="25" spans="2:7" x14ac:dyDescent="0.2">
      <c r="B25">
        <v>1022</v>
      </c>
      <c r="C25" t="s">
        <v>27</v>
      </c>
      <c r="D25" t="s">
        <v>7</v>
      </c>
      <c r="E25">
        <v>60</v>
      </c>
      <c r="F25">
        <f>Table1[[#This Row],[scores before penalty]]*penalty_rate</f>
        <v>0.6</v>
      </c>
      <c r="G25">
        <f>Table1[[#This Row],[scores before penalty]]-Table1[[#This Row],[cheating penalty]]</f>
        <v>59.4</v>
      </c>
    </row>
    <row r="31" spans="2:7" x14ac:dyDescent="0.2">
      <c r="G31" t="s">
        <v>42</v>
      </c>
    </row>
  </sheetData>
  <mergeCells count="1">
    <mergeCell ref="B2:E2"/>
  </mergeCells>
  <conditionalFormatting sqref="G4:G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0394-AD10-294C-8246-C19B41DD6256}">
  <dimension ref="D8:D9"/>
  <sheetViews>
    <sheetView topLeftCell="B1" workbookViewId="0">
      <selection activeCell="I10" sqref="I10"/>
    </sheetView>
  </sheetViews>
  <sheetFormatPr baseColWidth="10" defaultRowHeight="16" x14ac:dyDescent="0.2"/>
  <cols>
    <col min="4" max="4" width="24.1640625" customWidth="1"/>
  </cols>
  <sheetData>
    <row r="8" spans="4:4" x14ac:dyDescent="0.2">
      <c r="D8" t="s">
        <v>31</v>
      </c>
    </row>
    <row r="9" spans="4:4" x14ac:dyDescent="0.2">
      <c r="D9" s="4">
        <v>0.01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D94E-D1CE-A046-9E2F-5A8E59DF7F72}">
  <dimension ref="B3:E6"/>
  <sheetViews>
    <sheetView workbookViewId="0">
      <selection activeCell="B6" sqref="B6"/>
    </sheetView>
  </sheetViews>
  <sheetFormatPr baseColWidth="10" defaultRowHeight="16" x14ac:dyDescent="0.2"/>
  <cols>
    <col min="2" max="2" width="14.6640625" bestFit="1" customWidth="1"/>
    <col min="3" max="5" width="10.83203125" customWidth="1"/>
  </cols>
  <sheetData>
    <row r="3" spans="2:5" x14ac:dyDescent="0.2">
      <c r="B3" s="1" t="s">
        <v>36</v>
      </c>
      <c r="C3" s="1"/>
      <c r="D3" s="1"/>
      <c r="E3" s="1"/>
    </row>
    <row r="4" spans="2:5" x14ac:dyDescent="0.2">
      <c r="B4" t="s">
        <v>29</v>
      </c>
      <c r="C4" t="s">
        <v>30</v>
      </c>
      <c r="D4" t="s">
        <v>35</v>
      </c>
    </row>
    <row r="5" spans="2:5" x14ac:dyDescent="0.2">
      <c r="B5" t="s">
        <v>0</v>
      </c>
      <c r="C5" t="s">
        <v>2</v>
      </c>
      <c r="D5" t="s">
        <v>3</v>
      </c>
    </row>
    <row r="6" spans="2:5" x14ac:dyDescent="0.2">
      <c r="B6" t="s">
        <v>6</v>
      </c>
      <c r="C6" t="str">
        <f>_xlfn.XLOOKUP(Table3[[#This Row],[Column1]],Table1[name],Table1[subject],"not found",0)</f>
        <v>excel basics</v>
      </c>
      <c r="D6">
        <f>_xlfn.XLOOKUP(Table3[[#This Row],[Column1]],Table1[name],Table1[final score],"not found",0)</f>
        <v>72.27</v>
      </c>
    </row>
  </sheetData>
  <mergeCells count="1">
    <mergeCell ref="B3:E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40E8-AB28-9A41-91C0-78C28976485D}">
  <dimension ref="B3:D9"/>
  <sheetViews>
    <sheetView workbookViewId="0">
      <selection activeCell="I13" sqref="I13"/>
    </sheetView>
  </sheetViews>
  <sheetFormatPr baseColWidth="10" defaultRowHeight="16" x14ac:dyDescent="0.2"/>
  <cols>
    <col min="2" max="2" width="10.83203125" customWidth="1"/>
    <col min="3" max="3" width="34.33203125" bestFit="1" customWidth="1"/>
  </cols>
  <sheetData>
    <row r="3" spans="2:4" x14ac:dyDescent="0.2">
      <c r="B3" s="1" t="s">
        <v>43</v>
      </c>
      <c r="C3" s="1"/>
      <c r="D3" s="1"/>
    </row>
    <row r="4" spans="2:4" x14ac:dyDescent="0.2">
      <c r="B4" t="s">
        <v>29</v>
      </c>
      <c r="C4" t="s">
        <v>30</v>
      </c>
      <c r="D4" t="s">
        <v>35</v>
      </c>
    </row>
    <row r="5" spans="2:4" x14ac:dyDescent="0.2">
      <c r="B5">
        <v>1</v>
      </c>
      <c r="C5" t="s">
        <v>38</v>
      </c>
      <c r="D5">
        <f>MAX(Table1[final score])</f>
        <v>98.01</v>
      </c>
    </row>
    <row r="6" spans="2:4" x14ac:dyDescent="0.2">
      <c r="B6">
        <v>2</v>
      </c>
      <c r="C6" t="s">
        <v>37</v>
      </c>
      <c r="D6">
        <f>MIN(Table1[final score])</f>
        <v>4.95</v>
      </c>
    </row>
    <row r="7" spans="2:4" x14ac:dyDescent="0.2">
      <c r="B7">
        <v>3</v>
      </c>
      <c r="C7" t="s">
        <v>39</v>
      </c>
      <c r="D7">
        <f>AVERAGE(Table1[final score])</f>
        <v>62.279999999999994</v>
      </c>
    </row>
    <row r="8" spans="2:4" x14ac:dyDescent="0.2">
      <c r="B8">
        <v>4</v>
      </c>
      <c r="C8" t="s">
        <v>40</v>
      </c>
      <c r="D8">
        <f>SUM(Table1[final score])</f>
        <v>1370.1599999999999</v>
      </c>
    </row>
    <row r="9" spans="2:4" x14ac:dyDescent="0.2">
      <c r="B9">
        <v>5</v>
      </c>
      <c r="C9" t="s">
        <v>41</v>
      </c>
      <c r="D9">
        <f>COUNT(Table1[final score])</f>
        <v>22</v>
      </c>
    </row>
  </sheetData>
  <mergeCells count="1">
    <mergeCell ref="B3:D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EF78-F7E2-2C49-90C0-A8DD682DB23B}">
  <dimension ref="C2:J6"/>
  <sheetViews>
    <sheetView tabSelected="1" workbookViewId="0">
      <selection activeCell="H13" sqref="H13"/>
    </sheetView>
  </sheetViews>
  <sheetFormatPr baseColWidth="10" defaultRowHeight="16" x14ac:dyDescent="0.2"/>
  <sheetData>
    <row r="2" spans="3:10" x14ac:dyDescent="0.2">
      <c r="C2" s="1" t="s">
        <v>44</v>
      </c>
      <c r="D2" s="1"/>
      <c r="E2" s="1"/>
      <c r="F2" s="1"/>
      <c r="G2" s="1"/>
      <c r="H2" s="1"/>
      <c r="I2" s="1"/>
      <c r="J2" s="1"/>
    </row>
    <row r="3" spans="3:10" x14ac:dyDescent="0.2">
      <c r="C3" s="5" t="s">
        <v>45</v>
      </c>
      <c r="D3" s="5"/>
      <c r="E3" s="5"/>
      <c r="F3" s="5"/>
      <c r="G3" s="5"/>
      <c r="H3" s="5"/>
      <c r="I3" s="5"/>
      <c r="J3" s="5"/>
    </row>
    <row r="4" spans="3:10" x14ac:dyDescent="0.2">
      <c r="C4" s="5"/>
      <c r="D4" s="5"/>
      <c r="E4" s="5"/>
      <c r="F4" s="5"/>
      <c r="G4" s="5"/>
      <c r="H4" s="5"/>
      <c r="I4" s="5"/>
      <c r="J4" s="5"/>
    </row>
    <row r="5" spans="3:10" x14ac:dyDescent="0.2">
      <c r="C5" s="5"/>
      <c r="D5" s="5"/>
      <c r="E5" s="5"/>
      <c r="F5" s="5"/>
      <c r="G5" s="5"/>
      <c r="H5" s="5"/>
      <c r="I5" s="5"/>
      <c r="J5" s="5"/>
    </row>
    <row r="6" spans="3:10" x14ac:dyDescent="0.2">
      <c r="C6" s="5"/>
      <c r="D6" s="5"/>
      <c r="E6" s="5"/>
      <c r="F6" s="5"/>
      <c r="G6" s="5"/>
      <c r="H6" s="5"/>
      <c r="I6" s="5"/>
      <c r="J6" s="5"/>
    </row>
  </sheetData>
  <mergeCells count="2">
    <mergeCell ref="C3:J6"/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SCORES</vt:lpstr>
      <vt:lpstr>CHEATING PENALTY</vt:lpstr>
      <vt:lpstr>ANALYSIS</vt:lpstr>
      <vt:lpstr>OVERALL STATISTICS</vt:lpstr>
      <vt:lpstr>WHAT I LEARNED</vt:lpstr>
      <vt:lpstr>penalty_rate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Abidjan Mwanga</dc:creator>
  <cp:lastModifiedBy>Abidjan Mwanga</cp:lastModifiedBy>
  <dcterms:created xsi:type="dcterms:W3CDTF">2025-12-26T10:08:10Z</dcterms:created>
  <dcterms:modified xsi:type="dcterms:W3CDTF">2025-12-26T12:14:07Z</dcterms:modified>
</cp:coreProperties>
</file>